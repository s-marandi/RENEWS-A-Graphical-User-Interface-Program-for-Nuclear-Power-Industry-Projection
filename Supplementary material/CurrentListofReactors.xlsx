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F:\University of Maryland\Graduate School Reliability Engineering\Graduate Research Assistant\Nuclear Workforce Project\Python Code\"/>
    </mc:Choice>
  </mc:AlternateContent>
  <xr:revisionPtr revIDLastSave="0" documentId="13_ncr:1_{446D2A0A-84B2-4BC9-8F30-C72C998D79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ctorPresent" sheetId="1" r:id="rId1"/>
    <sheet name="ReactorFut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E3" i="2" l="1"/>
  <c r="G2" i="2" l="1"/>
</calcChain>
</file>

<file path=xl/sharedStrings.xml><?xml version="1.0" encoding="utf-8"?>
<sst xmlns="http://schemas.openxmlformats.org/spreadsheetml/2006/main" count="285" uniqueCount="147">
  <si>
    <t>REACTOR NAME</t>
  </si>
  <si>
    <t>STATE</t>
  </si>
  <si>
    <t>OPERATING License</t>
  </si>
  <si>
    <t>Capacity Mwe</t>
  </si>
  <si>
    <t>EXPIRATION License</t>
  </si>
  <si>
    <t>Arkansas Nuclear One 1</t>
  </si>
  <si>
    <t>Arkansas</t>
  </si>
  <si>
    <t>PWR</t>
  </si>
  <si>
    <t>Arkansas Nuclear One 2</t>
  </si>
  <si>
    <t>Beaver Valley 1</t>
  </si>
  <si>
    <t>Pennsylvania</t>
  </si>
  <si>
    <t>Beaver Valley 2</t>
  </si>
  <si>
    <t>Braidwood 1</t>
  </si>
  <si>
    <t>Illinois</t>
  </si>
  <si>
    <t>Braidwood 2</t>
  </si>
  <si>
    <t>Browns Ferry 1</t>
  </si>
  <si>
    <t>Alabama</t>
  </si>
  <si>
    <t>BWR</t>
  </si>
  <si>
    <t>Browns Ferry 2</t>
  </si>
  <si>
    <t>Browns Ferry 3</t>
  </si>
  <si>
    <t>Brunswick 1</t>
  </si>
  <si>
    <t>North Carolina</t>
  </si>
  <si>
    <t>Brunswick 2</t>
  </si>
  <si>
    <t>Byron 1</t>
  </si>
  <si>
    <t>Byron 2</t>
  </si>
  <si>
    <t>Callaway</t>
  </si>
  <si>
    <t>Missouri</t>
  </si>
  <si>
    <t>Calvert Cliffs 1</t>
  </si>
  <si>
    <t>Maryland</t>
  </si>
  <si>
    <t>Calvert Cliffs 2</t>
  </si>
  <si>
    <t>Catawba 1</t>
  </si>
  <si>
    <t>South Carolina</t>
  </si>
  <si>
    <t>Catawba 2</t>
  </si>
  <si>
    <t>Clinton</t>
  </si>
  <si>
    <t>Columbia Generating Station 2</t>
  </si>
  <si>
    <t>Washington</t>
  </si>
  <si>
    <t>Comanche Peak 1</t>
  </si>
  <si>
    <t>Texas</t>
  </si>
  <si>
    <t>Comanche Peak 2</t>
  </si>
  <si>
    <t>Cooper</t>
  </si>
  <si>
    <t>Nebraska</t>
  </si>
  <si>
    <t>Davis-Besse</t>
  </si>
  <si>
    <t>Ohio</t>
  </si>
  <si>
    <t>Diablo Canyon 1</t>
  </si>
  <si>
    <t>California</t>
  </si>
  <si>
    <t>Diablo Canyon 2</t>
  </si>
  <si>
    <t>Donald C. Cook 1</t>
  </si>
  <si>
    <t>Michigan</t>
  </si>
  <si>
    <t>Donald C. Cook 2</t>
  </si>
  <si>
    <t>Dresden 2</t>
  </si>
  <si>
    <t>Dresden 3</t>
  </si>
  <si>
    <t>Edwin I. Hatch 1</t>
  </si>
  <si>
    <t>Georgia</t>
  </si>
  <si>
    <t>Edwin I. Hatch 2</t>
  </si>
  <si>
    <t>Fermi 2</t>
  </si>
  <si>
    <t>Ginna</t>
  </si>
  <si>
    <t>New York</t>
  </si>
  <si>
    <t>Grand Gulf 1</t>
  </si>
  <si>
    <t>Mississippi</t>
  </si>
  <si>
    <t>H.B. Robinson 2</t>
  </si>
  <si>
    <t>Hope Creek 1</t>
  </si>
  <si>
    <t>New Jersey</t>
  </si>
  <si>
    <t>James A. FitzPatrick</t>
  </si>
  <si>
    <t>Joseph M. Farley 1</t>
  </si>
  <si>
    <t>Joseph M. Farley 2</t>
  </si>
  <si>
    <t>LaSalle 1</t>
  </si>
  <si>
    <t>LaSalle 2</t>
  </si>
  <si>
    <t>Limerick 1</t>
  </si>
  <si>
    <t>Limerick 2</t>
  </si>
  <si>
    <t>McGuire 1</t>
  </si>
  <si>
    <t>McGuire 2</t>
  </si>
  <si>
    <t>Millstone 2</t>
  </si>
  <si>
    <t>Connecticut</t>
  </si>
  <si>
    <t>Millstone 3</t>
  </si>
  <si>
    <t>Monticello</t>
  </si>
  <si>
    <t>Minnesota</t>
  </si>
  <si>
    <t>Nine Mile Point 1</t>
  </si>
  <si>
    <t>Nine Mile Point 2</t>
  </si>
  <si>
    <t>North Anna 1</t>
  </si>
  <si>
    <t>Virginia</t>
  </si>
  <si>
    <t>North Anna 2</t>
  </si>
  <si>
    <t>Oconee 1</t>
  </si>
  <si>
    <t>Oconee 2</t>
  </si>
  <si>
    <t>Oconee 3</t>
  </si>
  <si>
    <t>Palo Verde 1</t>
  </si>
  <si>
    <t>Arizona</t>
  </si>
  <si>
    <t>Palo Verde 2</t>
  </si>
  <si>
    <t>Palo Verde 3</t>
  </si>
  <si>
    <t>Peach Bottom 2</t>
  </si>
  <si>
    <t>Peach Bottom 3</t>
  </si>
  <si>
    <t>Perry 1</t>
  </si>
  <si>
    <t>Point Beach 1</t>
  </si>
  <si>
    <t>Wisconsin</t>
  </si>
  <si>
    <t>Point Beach 2</t>
  </si>
  <si>
    <t>Prairie Island 1</t>
  </si>
  <si>
    <t>Prairie Island 2</t>
  </si>
  <si>
    <t>Quad Cities 1</t>
  </si>
  <si>
    <t>Quad Cities 2</t>
  </si>
  <si>
    <t>River Bend 1</t>
  </si>
  <si>
    <t>Louisiana</t>
  </si>
  <si>
    <t>Salem 1</t>
  </si>
  <si>
    <t>Salem 2</t>
  </si>
  <si>
    <t>Seabrook 1</t>
  </si>
  <si>
    <t>New Hampshire</t>
  </si>
  <si>
    <t>Sequoyah 1</t>
  </si>
  <si>
    <t>Tennessee</t>
  </si>
  <si>
    <t>Sequoyah 2</t>
  </si>
  <si>
    <t>Shearon Harris 1</t>
  </si>
  <si>
    <t>South Texas Project 1</t>
  </si>
  <si>
    <t>South Texas Project 2</t>
  </si>
  <si>
    <t>St. Lucie 1</t>
  </si>
  <si>
    <t>Florida</t>
  </si>
  <si>
    <t>St. Lucie 2</t>
  </si>
  <si>
    <t>Surry 1</t>
  </si>
  <si>
    <t>Surry 2</t>
  </si>
  <si>
    <t>Susquehanna 1</t>
  </si>
  <si>
    <t>Susquehanna 2</t>
  </si>
  <si>
    <t>Turkey Point 3</t>
  </si>
  <si>
    <t>Turkey Point 4</t>
  </si>
  <si>
    <t>V.C. Summer</t>
  </si>
  <si>
    <t>Vogtle 1</t>
  </si>
  <si>
    <t>Vogtle 2</t>
  </si>
  <si>
    <t>Vogtle 3</t>
  </si>
  <si>
    <t>Waterford 3</t>
  </si>
  <si>
    <t>Watts Bar 1</t>
  </si>
  <si>
    <t>Watts Bar 2</t>
  </si>
  <si>
    <t>Wolf Creek 1</t>
  </si>
  <si>
    <t>Kansas</t>
  </si>
  <si>
    <t>Type</t>
  </si>
  <si>
    <t>Turkey Point 6&amp;7, FL</t>
  </si>
  <si>
    <t>SMR</t>
  </si>
  <si>
    <t>FMR</t>
  </si>
  <si>
    <t>N/A</t>
  </si>
  <si>
    <t>Holtec SMR160</t>
  </si>
  <si>
    <t>Core size</t>
  </si>
  <si>
    <t>BWX reactor-ClinchRiver</t>
  </si>
  <si>
    <t>Vogtle 4</t>
  </si>
  <si>
    <t>GA</t>
  </si>
  <si>
    <t>Aurora-Oklo</t>
  </si>
  <si>
    <t>Natrium-TerraP</t>
  </si>
  <si>
    <t>KP-FHR-Kairus</t>
  </si>
  <si>
    <t>Em^2- General Atomics</t>
  </si>
  <si>
    <t>VOYGR-NuScale</t>
  </si>
  <si>
    <t>XE-100-Xenergy</t>
  </si>
  <si>
    <t>Capacity MWe</t>
  </si>
  <si>
    <t>Expiration License</t>
  </si>
  <si>
    <t>Operating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</si>
</sst>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/>
      <bottom style="thick">
        <color rgb="FF189BD7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36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9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0" xfId="0" applyFont="1"/>
    <xf numFmtId="49" fontId="4" fillId="5" borderId="1" xfId="1" applyNumberFormat="1" applyBorder="1" applyAlignment="1">
      <alignment horizontal="center"/>
    </xf>
    <xf numFmtId="49" fontId="4" fillId="5" borderId="0" xfId="1" applyNumberFormat="1" applyAlignment="1">
      <alignment horizontal="center"/>
    </xf>
    <xf numFmtId="0" fontId="4" fillId="5" borderId="0" xfId="1" applyAlignment="1">
      <alignment horizontal="center"/>
    </xf>
    <xf numFmtId="164" fontId="4" fillId="5" borderId="0" xfId="1" applyNumberFormat="1" applyAlignment="1">
      <alignment horizontal="center"/>
    </xf>
    <xf numFmtId="1" fontId="4" fillId="5" borderId="0" xfId="1" applyNumberFormat="1" applyAlignment="1">
      <alignment horizontal="center"/>
    </xf>
    <xf numFmtId="164" fontId="4" fillId="5" borderId="0" xfId="1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eutral" xfId="1" builtinId="28"/>
    <cellStyle name="Normal" xfId="0" builtinId="0"/>
  </cellStyles>
  <dxfs count="30"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numFmt numFmtId="164" formatCode="mm\-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mm\-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504825</xdr:colOff>
      <xdr:row>97</xdr:row>
      <xdr:rowOff>464192</xdr:rowOff>
    </xdr:from>
    <xdr:ext cx="5640457" cy="20599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BEA113-919E-4137-A298-9EC74F9A97B6}"/>
            </a:ext>
          </a:extLst>
        </xdr:cNvPr>
        <xdr:cNvSpPr txBox="1"/>
      </xdr:nvSpPr>
      <xdr:spPr>
        <a:xfrm>
          <a:off x="12811125" y="18961742"/>
          <a:ext cx="5640457" cy="2059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0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https://www.nei.org/resources/statistics/us-nuclear-plant-license-information </a:t>
          </a:r>
        </a:p>
        <a:p>
          <a:r>
            <a:rPr lang="en-US" sz="1100" b="0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https://www.nrc.gov/reactors/operating/list-power-reactor-units.html</a:t>
          </a:r>
          <a:endParaRPr lang="en-US" sz="1100" b="0" i="0" u="sng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https://www.world-nuclear.org/information-library/country-profiles/countries-t-z/usa-nuclear-power.aspx</a:t>
          </a:r>
        </a:p>
        <a:p>
          <a:r>
            <a:rPr lang="en-US" sz="1100" b="0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https://www.world-nuclear.org/country/default.aspx/United%20States%20Of%20America </a:t>
          </a:r>
          <a:r>
            <a:rPr lang="en-US"/>
            <a:t> </a:t>
          </a:r>
        </a:p>
        <a:p>
          <a:r>
            <a:rPr lang="en-US" sz="1100"/>
            <a:t>Fuel Assbmly info from https://www.eia.gov/nuclear/spent_fuel/ussnftab2.php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ABCE9D-549B-419B-92ED-AC42A38DEC4B}" name="Table2" displayName="Table2" ref="A1:G1048576" totalsRowShown="0" headerRowDxfId="29" dataDxfId="28" tableBorderDxfId="27">
  <autoFilter ref="A1:G1048576" xr:uid="{A4ABCE9D-549B-419B-92ED-AC42A38DEC4B}"/>
  <sortState xmlns:xlrd2="http://schemas.microsoft.com/office/spreadsheetml/2017/richdata2" ref="A2:G94">
    <sortCondition ref="A1:A94"/>
  </sortState>
  <tableColumns count="7">
    <tableColumn id="1" xr3:uid="{CB1D707A-9094-4E7F-94FA-06CF757A4453}" name="REACTOR NAME" dataDxfId="26"/>
    <tableColumn id="2" xr3:uid="{98209002-2830-4912-B4DF-A6C7AF51A623}" name="STATE" dataDxfId="25"/>
    <tableColumn id="3" xr3:uid="{4545EC4F-5625-4194-B7B5-070966ABF4A3}" name="Type" dataDxfId="24"/>
    <tableColumn id="4" xr3:uid="{9A303D71-D0A8-4809-AE3A-378EFBC1AEDA}" name="Operating License" dataDxfId="23"/>
    <tableColumn id="6" xr3:uid="{4D364423-5673-481F-AD4F-F1BB18E78633}" name="Capacity MWe" dataDxfId="22"/>
    <tableColumn id="7" xr3:uid="{41971D44-C53C-4515-88B1-69B5C714355F}" name="Core size" dataDxfId="21"/>
    <tableColumn id="5" xr3:uid="{FDFAAD51-4100-4EC9-9C5D-F17BCE9567C8}" name="Expiration License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workbookViewId="0">
      <selection activeCell="G27" sqref="G27"/>
    </sheetView>
  </sheetViews>
  <sheetFormatPr defaultRowHeight="15" x14ac:dyDescent="0.25"/>
  <cols>
    <col min="1" max="1" width="33.7109375" style="2" customWidth="1"/>
    <col min="2" max="2" width="15.28515625" style="2" bestFit="1" customWidth="1"/>
    <col min="3" max="3" width="22.28515625" style="2" bestFit="1" customWidth="1"/>
    <col min="4" max="4" width="26.140625" style="3" customWidth="1"/>
    <col min="5" max="5" width="26.140625" style="4" customWidth="1"/>
    <col min="6" max="6" width="32.42578125" style="8" bestFit="1" customWidth="1"/>
    <col min="7" max="7" width="28.5703125" style="3" customWidth="1"/>
    <col min="9" max="9" width="19.28515625" style="5" bestFit="1" customWidth="1"/>
    <col min="10" max="10" width="29.85546875" style="5" bestFit="1" customWidth="1"/>
    <col min="11" max="11" width="17.5703125" bestFit="1" customWidth="1"/>
  </cols>
  <sheetData>
    <row r="1" spans="1:10" ht="15.75" thickBot="1" x14ac:dyDescent="0.3">
      <c r="A1" s="1" t="s">
        <v>0</v>
      </c>
      <c r="B1" s="1" t="s">
        <v>1</v>
      </c>
      <c r="C1" s="1" t="s">
        <v>128</v>
      </c>
      <c r="D1" s="6" t="s">
        <v>146</v>
      </c>
      <c r="E1" s="7" t="s">
        <v>144</v>
      </c>
      <c r="F1" s="27" t="s">
        <v>134</v>
      </c>
      <c r="G1" s="6" t="s">
        <v>145</v>
      </c>
      <c r="I1"/>
      <c r="J1"/>
    </row>
    <row r="2" spans="1:10" ht="15.75" thickTop="1" x14ac:dyDescent="0.25">
      <c r="A2" s="2" t="s">
        <v>5</v>
      </c>
      <c r="B2" s="2" t="s">
        <v>6</v>
      </c>
      <c r="C2" s="2" t="s">
        <v>7</v>
      </c>
      <c r="D2" s="3">
        <v>27170</v>
      </c>
      <c r="E2" s="4">
        <v>836</v>
      </c>
      <c r="F2" s="4">
        <v>177</v>
      </c>
      <c r="G2" s="3">
        <v>49084</v>
      </c>
      <c r="I2"/>
      <c r="J2"/>
    </row>
    <row r="3" spans="1:10" x14ac:dyDescent="0.25">
      <c r="A3" s="2" t="s">
        <v>8</v>
      </c>
      <c r="C3" s="2" t="s">
        <v>7</v>
      </c>
      <c r="D3" s="3">
        <v>28734</v>
      </c>
      <c r="E3" s="4">
        <v>988</v>
      </c>
      <c r="F3" s="8">
        <v>177</v>
      </c>
      <c r="G3" s="3">
        <v>50603</v>
      </c>
      <c r="I3"/>
      <c r="J3"/>
    </row>
    <row r="4" spans="1:10" x14ac:dyDescent="0.25">
      <c r="A4" s="2" t="s">
        <v>9</v>
      </c>
      <c r="B4" s="2" t="s">
        <v>10</v>
      </c>
      <c r="C4" s="2" t="s">
        <v>7</v>
      </c>
      <c r="D4" s="3">
        <v>27943</v>
      </c>
      <c r="E4" s="4">
        <v>908</v>
      </c>
      <c r="F4" s="8">
        <v>157</v>
      </c>
      <c r="G4" s="3">
        <v>49703</v>
      </c>
      <c r="I4"/>
      <c r="J4"/>
    </row>
    <row r="5" spans="1:10" x14ac:dyDescent="0.25">
      <c r="A5" s="2" t="s">
        <v>11</v>
      </c>
      <c r="C5" s="2" t="s">
        <v>7</v>
      </c>
      <c r="D5" s="3">
        <v>32003</v>
      </c>
      <c r="E5" s="4">
        <v>905</v>
      </c>
      <c r="F5" s="8">
        <v>157</v>
      </c>
      <c r="G5" s="3">
        <v>53840</v>
      </c>
      <c r="I5"/>
      <c r="J5"/>
    </row>
    <row r="6" spans="1:10" x14ac:dyDescent="0.25">
      <c r="A6" s="2" t="s">
        <v>12</v>
      </c>
      <c r="B6" s="2" t="s">
        <v>13</v>
      </c>
      <c r="C6" s="2" t="s">
        <v>7</v>
      </c>
      <c r="D6" s="3">
        <v>31960</v>
      </c>
      <c r="E6" s="4">
        <v>1194</v>
      </c>
      <c r="F6" s="8">
        <v>193</v>
      </c>
      <c r="G6" s="3">
        <v>53617</v>
      </c>
    </row>
    <row r="7" spans="1:10" x14ac:dyDescent="0.25">
      <c r="A7" s="2" t="s">
        <v>14</v>
      </c>
      <c r="C7" s="2" t="s">
        <v>7</v>
      </c>
      <c r="D7" s="3">
        <v>32283</v>
      </c>
      <c r="E7" s="4">
        <v>1160</v>
      </c>
      <c r="F7" s="8">
        <v>193</v>
      </c>
      <c r="G7" s="3">
        <v>54044</v>
      </c>
    </row>
    <row r="8" spans="1:10" x14ac:dyDescent="0.25">
      <c r="A8" s="2" t="s">
        <v>15</v>
      </c>
      <c r="B8" s="2" t="s">
        <v>16</v>
      </c>
      <c r="C8" s="2" t="s">
        <v>17</v>
      </c>
      <c r="D8" s="3">
        <v>27018</v>
      </c>
      <c r="E8" s="4">
        <v>1200</v>
      </c>
      <c r="F8" s="8">
        <v>764</v>
      </c>
      <c r="G8" s="3">
        <v>48933</v>
      </c>
    </row>
    <row r="9" spans="1:10" x14ac:dyDescent="0.25">
      <c r="A9" s="2" t="s">
        <v>18</v>
      </c>
      <c r="C9" s="2" t="s">
        <v>17</v>
      </c>
      <c r="D9" s="3">
        <v>27208</v>
      </c>
      <c r="E9" s="4">
        <v>1200</v>
      </c>
      <c r="F9" s="8">
        <v>764</v>
      </c>
      <c r="G9" s="3">
        <v>49123</v>
      </c>
    </row>
    <row r="10" spans="1:10" x14ac:dyDescent="0.25">
      <c r="A10" s="2" t="s">
        <v>19</v>
      </c>
      <c r="C10" s="2" t="s">
        <v>17</v>
      </c>
      <c r="D10" s="3">
        <v>27943</v>
      </c>
      <c r="E10" s="4">
        <v>1210</v>
      </c>
      <c r="F10" s="8">
        <v>764</v>
      </c>
      <c r="G10" s="3">
        <v>49858</v>
      </c>
    </row>
    <row r="11" spans="1:10" x14ac:dyDescent="0.25">
      <c r="A11" s="2" t="s">
        <v>20</v>
      </c>
      <c r="B11" s="2" t="s">
        <v>21</v>
      </c>
      <c r="C11" s="2" t="s">
        <v>17</v>
      </c>
      <c r="D11" s="3">
        <v>28011</v>
      </c>
      <c r="E11" s="4">
        <v>938</v>
      </c>
      <c r="F11" s="8">
        <v>560</v>
      </c>
      <c r="G11" s="3">
        <v>49926</v>
      </c>
    </row>
    <row r="12" spans="1:10" x14ac:dyDescent="0.25">
      <c r="A12" s="2" t="s">
        <v>22</v>
      </c>
      <c r="C12" s="2" t="s">
        <v>17</v>
      </c>
      <c r="D12" s="3">
        <v>27390</v>
      </c>
      <c r="E12" s="4">
        <v>932</v>
      </c>
      <c r="F12" s="8">
        <v>560</v>
      </c>
      <c r="G12" s="3">
        <v>49305</v>
      </c>
    </row>
    <row r="13" spans="1:10" x14ac:dyDescent="0.25">
      <c r="A13" s="2" t="s">
        <v>23</v>
      </c>
      <c r="B13" s="2" t="s">
        <v>13</v>
      </c>
      <c r="C13" s="2" t="s">
        <v>7</v>
      </c>
      <c r="D13" s="3">
        <v>31092</v>
      </c>
      <c r="E13" s="4">
        <v>1164</v>
      </c>
      <c r="F13" s="8">
        <v>193</v>
      </c>
      <c r="G13" s="3">
        <v>52901</v>
      </c>
    </row>
    <row r="14" spans="1:10" x14ac:dyDescent="0.25">
      <c r="A14" s="2" t="s">
        <v>24</v>
      </c>
      <c r="C14" s="2" t="s">
        <v>7</v>
      </c>
      <c r="D14" s="3">
        <v>31807</v>
      </c>
      <c r="E14" s="4">
        <v>1136</v>
      </c>
      <c r="F14" s="8">
        <v>193</v>
      </c>
      <c r="G14" s="3">
        <v>53637</v>
      </c>
    </row>
    <row r="15" spans="1:10" x14ac:dyDescent="0.25">
      <c r="A15" s="2" t="s">
        <v>25</v>
      </c>
      <c r="B15" s="2" t="s">
        <v>26</v>
      </c>
      <c r="C15" s="2" t="s">
        <v>7</v>
      </c>
      <c r="D15" s="3">
        <v>30973</v>
      </c>
      <c r="E15" s="4">
        <v>1215</v>
      </c>
      <c r="F15" s="8">
        <v>193</v>
      </c>
      <c r="G15" s="3">
        <v>52888</v>
      </c>
    </row>
    <row r="16" spans="1:10" x14ac:dyDescent="0.25">
      <c r="A16" s="2" t="s">
        <v>27</v>
      </c>
      <c r="B16" s="2" t="s">
        <v>28</v>
      </c>
      <c r="C16" s="2" t="s">
        <v>7</v>
      </c>
      <c r="D16" s="3">
        <v>27241</v>
      </c>
      <c r="E16" s="4">
        <v>877</v>
      </c>
      <c r="F16" s="8">
        <v>217</v>
      </c>
      <c r="G16" s="3">
        <v>49156</v>
      </c>
    </row>
    <row r="17" spans="1:7" x14ac:dyDescent="0.25">
      <c r="A17" s="2" t="s">
        <v>29</v>
      </c>
      <c r="C17" s="2" t="s">
        <v>7</v>
      </c>
      <c r="D17" s="3">
        <v>27985</v>
      </c>
      <c r="E17" s="4">
        <v>855</v>
      </c>
      <c r="F17" s="8">
        <v>217</v>
      </c>
      <c r="G17" s="3">
        <v>49900</v>
      </c>
    </row>
    <row r="18" spans="1:7" x14ac:dyDescent="0.25">
      <c r="A18" s="2" t="s">
        <v>30</v>
      </c>
      <c r="B18" s="2" t="s">
        <v>31</v>
      </c>
      <c r="C18" s="2" t="s">
        <v>7</v>
      </c>
      <c r="D18" s="3">
        <v>31064</v>
      </c>
      <c r="E18" s="4">
        <v>1160</v>
      </c>
      <c r="F18" s="8">
        <v>193</v>
      </c>
      <c r="G18" s="3">
        <v>52570</v>
      </c>
    </row>
    <row r="19" spans="1:7" x14ac:dyDescent="0.25">
      <c r="A19" s="2" t="s">
        <v>32</v>
      </c>
      <c r="C19" s="2" t="s">
        <v>7</v>
      </c>
      <c r="D19" s="3">
        <v>31547</v>
      </c>
      <c r="E19" s="4">
        <v>1150</v>
      </c>
      <c r="F19" s="8">
        <v>193</v>
      </c>
      <c r="G19" s="3">
        <v>52570</v>
      </c>
    </row>
    <row r="20" spans="1:7" x14ac:dyDescent="0.25">
      <c r="A20" s="2" t="s">
        <v>33</v>
      </c>
      <c r="B20" s="2" t="s">
        <v>13</v>
      </c>
      <c r="C20" s="2" t="s">
        <v>17</v>
      </c>
      <c r="D20" s="3">
        <v>31884</v>
      </c>
      <c r="E20" s="4">
        <v>1062</v>
      </c>
      <c r="F20" s="8">
        <v>624</v>
      </c>
      <c r="G20" s="3">
        <v>46294</v>
      </c>
    </row>
    <row r="21" spans="1:7" x14ac:dyDescent="0.25">
      <c r="A21" s="2" t="s">
        <v>34</v>
      </c>
      <c r="B21" s="2" t="s">
        <v>35</v>
      </c>
      <c r="C21" s="2" t="s">
        <v>17</v>
      </c>
      <c r="D21" s="3">
        <v>30785</v>
      </c>
      <c r="E21" s="4">
        <v>1131</v>
      </c>
      <c r="F21" s="8">
        <v>764</v>
      </c>
      <c r="G21" s="3">
        <v>52585</v>
      </c>
    </row>
    <row r="22" spans="1:7" x14ac:dyDescent="0.25">
      <c r="A22" s="2" t="s">
        <v>36</v>
      </c>
      <c r="B22" s="2" t="s">
        <v>37</v>
      </c>
      <c r="C22" s="2" t="s">
        <v>7</v>
      </c>
      <c r="D22" s="3">
        <v>32980</v>
      </c>
      <c r="E22" s="4">
        <v>1205</v>
      </c>
      <c r="F22" s="8">
        <v>193</v>
      </c>
      <c r="G22" s="3">
        <v>47522</v>
      </c>
    </row>
    <row r="23" spans="1:7" x14ac:dyDescent="0.25">
      <c r="A23" s="2" t="s">
        <v>38</v>
      </c>
      <c r="C23" s="2" t="s">
        <v>7</v>
      </c>
      <c r="D23" s="3">
        <v>34065</v>
      </c>
      <c r="E23" s="4">
        <v>1195</v>
      </c>
      <c r="F23" s="8">
        <v>193</v>
      </c>
      <c r="G23" s="3">
        <v>48612</v>
      </c>
    </row>
    <row r="24" spans="1:7" x14ac:dyDescent="0.25">
      <c r="A24" s="2" t="s">
        <v>39</v>
      </c>
      <c r="B24" s="2" t="s">
        <v>40</v>
      </c>
      <c r="C24" s="2" t="s">
        <v>17</v>
      </c>
      <c r="D24" s="3">
        <v>27047</v>
      </c>
      <c r="E24" s="4">
        <v>769</v>
      </c>
      <c r="F24" s="8">
        <v>193</v>
      </c>
      <c r="G24" s="3">
        <v>48962</v>
      </c>
    </row>
    <row r="25" spans="1:7" x14ac:dyDescent="0.25">
      <c r="A25" s="2" t="s">
        <v>41</v>
      </c>
      <c r="B25" s="2" t="s">
        <v>42</v>
      </c>
      <c r="C25" s="2" t="s">
        <v>7</v>
      </c>
      <c r="D25" s="3">
        <v>28237</v>
      </c>
      <c r="E25" s="4">
        <v>894</v>
      </c>
      <c r="F25" s="8">
        <v>193</v>
      </c>
      <c r="G25" s="3">
        <v>50134</v>
      </c>
    </row>
    <row r="26" spans="1:7" x14ac:dyDescent="0.25">
      <c r="A26" s="2" t="s">
        <v>43</v>
      </c>
      <c r="B26" s="2" t="s">
        <v>44</v>
      </c>
      <c r="C26" s="2" t="s">
        <v>7</v>
      </c>
      <c r="D26" s="3">
        <v>30988</v>
      </c>
      <c r="E26" s="4">
        <v>1138</v>
      </c>
      <c r="F26" s="8">
        <v>548</v>
      </c>
      <c r="G26" s="3">
        <v>45962</v>
      </c>
    </row>
    <row r="27" spans="1:7" x14ac:dyDescent="0.25">
      <c r="A27" s="2" t="s">
        <v>45</v>
      </c>
      <c r="C27" s="2" t="s">
        <v>7</v>
      </c>
      <c r="D27" s="3">
        <v>31285</v>
      </c>
      <c r="E27" s="4">
        <v>1118</v>
      </c>
      <c r="F27" s="8">
        <v>177</v>
      </c>
      <c r="G27" s="3">
        <v>45895</v>
      </c>
    </row>
    <row r="28" spans="1:7" x14ac:dyDescent="0.25">
      <c r="A28" s="2" t="s">
        <v>46</v>
      </c>
      <c r="B28" s="2" t="s">
        <v>47</v>
      </c>
      <c r="C28" s="2" t="s">
        <v>7</v>
      </c>
      <c r="D28" s="3">
        <v>27327</v>
      </c>
      <c r="E28" s="4">
        <v>1030</v>
      </c>
      <c r="F28" s="8">
        <v>193</v>
      </c>
      <c r="G28" s="3">
        <v>49242</v>
      </c>
    </row>
    <row r="29" spans="1:7" x14ac:dyDescent="0.25">
      <c r="A29" s="2" t="s">
        <v>48</v>
      </c>
      <c r="C29" s="2" t="s">
        <v>7</v>
      </c>
      <c r="D29" s="3">
        <v>28482</v>
      </c>
      <c r="E29" s="4">
        <v>1168</v>
      </c>
      <c r="F29" s="8">
        <v>193</v>
      </c>
      <c r="G29" s="3">
        <v>50397</v>
      </c>
    </row>
    <row r="30" spans="1:7" x14ac:dyDescent="0.25">
      <c r="A30" s="2" t="s">
        <v>49</v>
      </c>
      <c r="B30" s="2" t="s">
        <v>13</v>
      </c>
      <c r="C30" s="2" t="s">
        <v>17</v>
      </c>
      <c r="D30" s="3">
        <v>25559</v>
      </c>
      <c r="E30" s="4">
        <v>894</v>
      </c>
      <c r="F30" s="8">
        <v>724</v>
      </c>
      <c r="G30" s="3">
        <v>47474</v>
      </c>
    </row>
    <row r="31" spans="1:7" x14ac:dyDescent="0.25">
      <c r="A31" s="2" t="s">
        <v>50</v>
      </c>
      <c r="C31" s="2" t="s">
        <v>17</v>
      </c>
      <c r="D31" s="3">
        <v>25945</v>
      </c>
      <c r="E31" s="4">
        <v>879</v>
      </c>
      <c r="F31" s="8">
        <v>724</v>
      </c>
      <c r="G31" s="3">
        <v>47860</v>
      </c>
    </row>
    <row r="32" spans="1:7" x14ac:dyDescent="0.25">
      <c r="A32" s="2" t="s">
        <v>51</v>
      </c>
      <c r="B32" s="2" t="s">
        <v>52</v>
      </c>
      <c r="C32" s="2" t="s">
        <v>17</v>
      </c>
      <c r="D32" s="3">
        <v>27315</v>
      </c>
      <c r="E32" s="4">
        <v>876</v>
      </c>
      <c r="F32" s="8">
        <v>764</v>
      </c>
      <c r="G32" s="3">
        <v>49103</v>
      </c>
    </row>
    <row r="33" spans="1:7" x14ac:dyDescent="0.25">
      <c r="A33" s="2" t="s">
        <v>53</v>
      </c>
      <c r="C33" s="2" t="s">
        <v>17</v>
      </c>
      <c r="D33" s="3">
        <v>28654</v>
      </c>
      <c r="E33" s="4">
        <v>883</v>
      </c>
      <c r="F33" s="8">
        <v>157</v>
      </c>
      <c r="G33" s="3">
        <v>50569</v>
      </c>
    </row>
    <row r="34" spans="1:7" x14ac:dyDescent="0.25">
      <c r="A34" s="2" t="s">
        <v>54</v>
      </c>
      <c r="B34" s="2" t="s">
        <v>42</v>
      </c>
      <c r="C34" s="2" t="s">
        <v>17</v>
      </c>
      <c r="D34" s="3">
        <v>31126</v>
      </c>
      <c r="E34" s="4">
        <v>1115</v>
      </c>
      <c r="F34" s="8">
        <v>157</v>
      </c>
      <c r="G34" s="3">
        <v>53041</v>
      </c>
    </row>
    <row r="35" spans="1:7" x14ac:dyDescent="0.25">
      <c r="A35" s="2" t="s">
        <v>55</v>
      </c>
      <c r="B35" s="2" t="s">
        <v>56</v>
      </c>
      <c r="C35" s="2" t="s">
        <v>7</v>
      </c>
      <c r="D35" s="3">
        <v>25465</v>
      </c>
      <c r="E35" s="4">
        <v>813</v>
      </c>
      <c r="F35" s="8">
        <v>560</v>
      </c>
      <c r="G35" s="3">
        <v>47379</v>
      </c>
    </row>
    <row r="36" spans="1:7" x14ac:dyDescent="0.25">
      <c r="A36" s="2" t="s">
        <v>57</v>
      </c>
      <c r="B36" s="2" t="s">
        <v>58</v>
      </c>
      <c r="C36" s="2" t="s">
        <v>17</v>
      </c>
      <c r="D36" s="3">
        <v>30987</v>
      </c>
      <c r="E36" s="4">
        <v>1401</v>
      </c>
      <c r="F36" s="8">
        <v>121</v>
      </c>
      <c r="G36" s="3">
        <v>52902</v>
      </c>
    </row>
    <row r="37" spans="1:7" x14ac:dyDescent="0.25">
      <c r="A37" s="2" t="s">
        <v>59</v>
      </c>
      <c r="B37" s="2" t="s">
        <v>31</v>
      </c>
      <c r="C37" s="2" t="s">
        <v>7</v>
      </c>
      <c r="D37" s="3">
        <v>25780</v>
      </c>
      <c r="E37" s="4">
        <v>741</v>
      </c>
      <c r="F37" s="8">
        <v>800</v>
      </c>
      <c r="G37" s="3">
        <v>47695</v>
      </c>
    </row>
    <row r="38" spans="1:7" x14ac:dyDescent="0.25">
      <c r="A38" s="2" t="s">
        <v>60</v>
      </c>
      <c r="B38" s="2" t="s">
        <v>61</v>
      </c>
      <c r="C38" s="2" t="s">
        <v>17</v>
      </c>
      <c r="D38" s="3">
        <v>31618</v>
      </c>
      <c r="E38" s="4">
        <v>964</v>
      </c>
      <c r="F38" s="8">
        <v>157</v>
      </c>
      <c r="G38" s="3">
        <v>53428</v>
      </c>
    </row>
    <row r="39" spans="1:7" x14ac:dyDescent="0.25">
      <c r="A39" s="2" t="s">
        <v>62</v>
      </c>
      <c r="B39" s="2" t="s">
        <v>56</v>
      </c>
      <c r="C39" s="2" t="s">
        <v>17</v>
      </c>
      <c r="D39" s="3">
        <v>27319</v>
      </c>
      <c r="E39" s="4">
        <v>1172</v>
      </c>
      <c r="F39" s="8">
        <v>560</v>
      </c>
      <c r="G39" s="3">
        <v>49234</v>
      </c>
    </row>
    <row r="40" spans="1:7" x14ac:dyDescent="0.25">
      <c r="A40" s="2" t="s">
        <v>63</v>
      </c>
      <c r="B40" s="2" t="s">
        <v>16</v>
      </c>
      <c r="C40" s="2" t="s">
        <v>7</v>
      </c>
      <c r="D40" s="3">
        <v>28301</v>
      </c>
      <c r="E40" s="4">
        <v>874</v>
      </c>
      <c r="F40" s="8">
        <v>560</v>
      </c>
      <c r="G40" s="3">
        <v>50216</v>
      </c>
    </row>
    <row r="41" spans="1:7" x14ac:dyDescent="0.25">
      <c r="A41" s="2" t="s">
        <v>64</v>
      </c>
      <c r="C41" s="2" t="s">
        <v>7</v>
      </c>
      <c r="D41" s="3">
        <v>29676</v>
      </c>
      <c r="E41" s="4">
        <v>883</v>
      </c>
      <c r="F41" s="8">
        <v>764</v>
      </c>
      <c r="G41" s="3">
        <v>51591</v>
      </c>
    </row>
    <row r="42" spans="1:7" x14ac:dyDescent="0.25">
      <c r="A42" s="2" t="s">
        <v>65</v>
      </c>
      <c r="B42" s="2" t="s">
        <v>13</v>
      </c>
      <c r="C42" s="2" t="s">
        <v>17</v>
      </c>
      <c r="D42" s="3">
        <v>30058</v>
      </c>
      <c r="E42" s="4">
        <v>1137</v>
      </c>
      <c r="F42" s="8">
        <v>193</v>
      </c>
      <c r="G42" s="3">
        <v>51973</v>
      </c>
    </row>
    <row r="43" spans="1:7" x14ac:dyDescent="0.25">
      <c r="A43" s="2" t="s">
        <v>66</v>
      </c>
      <c r="C43" s="2" t="s">
        <v>17</v>
      </c>
      <c r="D43" s="3">
        <v>30666</v>
      </c>
      <c r="E43" s="4">
        <v>1140</v>
      </c>
      <c r="F43" s="8">
        <v>764</v>
      </c>
      <c r="G43" s="3">
        <v>52581</v>
      </c>
    </row>
    <row r="44" spans="1:7" x14ac:dyDescent="0.25">
      <c r="A44" s="2" t="s">
        <v>67</v>
      </c>
      <c r="B44" s="2" t="s">
        <v>10</v>
      </c>
      <c r="C44" s="2" t="s">
        <v>17</v>
      </c>
      <c r="D44" s="3">
        <v>31267</v>
      </c>
      <c r="E44" s="4">
        <v>1134</v>
      </c>
      <c r="F44" s="8">
        <v>764</v>
      </c>
      <c r="G44" s="3">
        <v>52896</v>
      </c>
    </row>
    <row r="45" spans="1:7" x14ac:dyDescent="0.25">
      <c r="A45" s="2" t="s">
        <v>68</v>
      </c>
      <c r="C45" s="2" t="s">
        <v>17</v>
      </c>
      <c r="D45" s="3">
        <v>32745</v>
      </c>
      <c r="E45" s="4">
        <v>1134</v>
      </c>
      <c r="F45" s="8">
        <v>764</v>
      </c>
      <c r="G45" s="3">
        <v>54596</v>
      </c>
    </row>
    <row r="46" spans="1:7" x14ac:dyDescent="0.25">
      <c r="A46" s="2" t="s">
        <v>69</v>
      </c>
      <c r="B46" s="2" t="s">
        <v>21</v>
      </c>
      <c r="C46" s="2" t="s">
        <v>7</v>
      </c>
      <c r="D46" s="3">
        <v>29733</v>
      </c>
      <c r="E46" s="4">
        <v>1158</v>
      </c>
      <c r="F46" s="8">
        <v>764</v>
      </c>
      <c r="G46" s="3">
        <v>51664</v>
      </c>
    </row>
    <row r="47" spans="1:7" x14ac:dyDescent="0.25">
      <c r="A47" s="2" t="s">
        <v>70</v>
      </c>
      <c r="C47" s="2" t="s">
        <v>7</v>
      </c>
      <c r="D47" s="3">
        <v>30463</v>
      </c>
      <c r="E47" s="4">
        <v>1158</v>
      </c>
      <c r="F47" s="8">
        <v>193</v>
      </c>
      <c r="G47" s="3">
        <v>52293</v>
      </c>
    </row>
    <row r="48" spans="1:7" x14ac:dyDescent="0.25">
      <c r="A48" s="2" t="s">
        <v>71</v>
      </c>
      <c r="B48" s="2" t="s">
        <v>72</v>
      </c>
      <c r="C48" s="2" t="s">
        <v>7</v>
      </c>
      <c r="D48" s="9">
        <v>27663</v>
      </c>
      <c r="E48" s="10">
        <v>869</v>
      </c>
      <c r="F48" s="8">
        <v>193</v>
      </c>
      <c r="G48" s="3">
        <v>49521</v>
      </c>
    </row>
    <row r="49" spans="1:7" x14ac:dyDescent="0.25">
      <c r="A49" s="2" t="s">
        <v>73</v>
      </c>
      <c r="C49" s="2" t="s">
        <v>7</v>
      </c>
      <c r="D49" s="3">
        <v>31443</v>
      </c>
      <c r="E49" s="4">
        <v>1210</v>
      </c>
      <c r="F49" s="8">
        <v>217</v>
      </c>
      <c r="G49" s="3">
        <v>53291</v>
      </c>
    </row>
    <row r="50" spans="1:7" x14ac:dyDescent="0.25">
      <c r="A50" s="2" t="s">
        <v>74</v>
      </c>
      <c r="B50" s="2" t="s">
        <v>75</v>
      </c>
      <c r="C50" s="2" t="s">
        <v>17</v>
      </c>
      <c r="D50" s="3">
        <v>25819</v>
      </c>
      <c r="E50" s="4">
        <v>628</v>
      </c>
      <c r="F50" s="8">
        <v>193</v>
      </c>
      <c r="G50" s="3">
        <v>47734</v>
      </c>
    </row>
    <row r="51" spans="1:7" x14ac:dyDescent="0.25">
      <c r="A51" s="2" t="s">
        <v>76</v>
      </c>
      <c r="B51" s="2" t="s">
        <v>56</v>
      </c>
      <c r="C51" s="2" t="s">
        <v>17</v>
      </c>
      <c r="D51" s="3">
        <v>27389</v>
      </c>
      <c r="E51" s="4">
        <v>613</v>
      </c>
      <c r="F51" s="8">
        <v>484</v>
      </c>
      <c r="G51" s="3">
        <v>47352</v>
      </c>
    </row>
    <row r="52" spans="1:7" x14ac:dyDescent="0.25">
      <c r="A52" s="2" t="s">
        <v>77</v>
      </c>
      <c r="C52" s="2" t="s">
        <v>17</v>
      </c>
      <c r="D52" s="3">
        <v>31960</v>
      </c>
      <c r="E52" s="4">
        <v>1277</v>
      </c>
      <c r="F52" s="8">
        <v>532</v>
      </c>
      <c r="G52" s="3">
        <v>53631</v>
      </c>
    </row>
    <row r="53" spans="1:7" x14ac:dyDescent="0.25">
      <c r="A53" s="2" t="s">
        <v>78</v>
      </c>
      <c r="B53" s="2" t="s">
        <v>79</v>
      </c>
      <c r="C53" s="2" t="s">
        <v>7</v>
      </c>
      <c r="D53" s="3">
        <v>28581</v>
      </c>
      <c r="E53" s="4">
        <v>948</v>
      </c>
      <c r="F53" s="8">
        <v>764</v>
      </c>
      <c r="G53" s="3">
        <v>50496</v>
      </c>
    </row>
    <row r="54" spans="1:7" x14ac:dyDescent="0.25">
      <c r="A54" s="2" t="s">
        <v>80</v>
      </c>
      <c r="C54" s="2" t="s">
        <v>7</v>
      </c>
      <c r="D54" s="3">
        <v>29454</v>
      </c>
      <c r="E54" s="4">
        <v>944</v>
      </c>
      <c r="F54" s="8">
        <v>157</v>
      </c>
      <c r="G54" s="3">
        <v>51369</v>
      </c>
    </row>
    <row r="55" spans="1:7" x14ac:dyDescent="0.25">
      <c r="A55" s="2" t="s">
        <v>81</v>
      </c>
      <c r="B55" s="2" t="s">
        <v>31</v>
      </c>
      <c r="C55" s="2" t="s">
        <v>7</v>
      </c>
      <c r="D55" s="3">
        <v>26701</v>
      </c>
      <c r="E55" s="4">
        <v>847</v>
      </c>
      <c r="F55" s="8">
        <v>157</v>
      </c>
      <c r="G55" s="3">
        <v>48616</v>
      </c>
    </row>
    <row r="56" spans="1:7" x14ac:dyDescent="0.25">
      <c r="A56" s="2" t="s">
        <v>82</v>
      </c>
      <c r="C56" s="2" t="s">
        <v>7</v>
      </c>
      <c r="D56" s="3">
        <v>26943</v>
      </c>
      <c r="E56" s="4">
        <v>848</v>
      </c>
      <c r="F56" s="8">
        <v>177</v>
      </c>
      <c r="G56" s="3">
        <v>48858</v>
      </c>
    </row>
    <row r="57" spans="1:7" x14ac:dyDescent="0.25">
      <c r="A57" s="2" t="s">
        <v>83</v>
      </c>
      <c r="C57" s="2" t="s">
        <v>7</v>
      </c>
      <c r="D57" s="3">
        <v>27229</v>
      </c>
      <c r="E57" s="4">
        <v>859</v>
      </c>
      <c r="F57" s="8">
        <v>177</v>
      </c>
      <c r="G57" s="3">
        <v>49144</v>
      </c>
    </row>
    <row r="58" spans="1:7" x14ac:dyDescent="0.25">
      <c r="A58" s="2" t="s">
        <v>84</v>
      </c>
      <c r="B58" s="2" t="s">
        <v>85</v>
      </c>
      <c r="C58" s="2" t="s">
        <v>7</v>
      </c>
      <c r="D58" s="3">
        <v>31199</v>
      </c>
      <c r="E58" s="4">
        <v>1311</v>
      </c>
      <c r="F58" s="8">
        <v>177</v>
      </c>
      <c r="G58" s="3">
        <v>53114</v>
      </c>
    </row>
    <row r="59" spans="1:7" x14ac:dyDescent="0.25">
      <c r="A59" s="2" t="s">
        <v>86</v>
      </c>
      <c r="C59" s="2" t="s">
        <v>7</v>
      </c>
      <c r="D59" s="3">
        <v>31526</v>
      </c>
      <c r="E59" s="4">
        <v>1314</v>
      </c>
      <c r="F59" s="8">
        <v>204</v>
      </c>
      <c r="G59" s="3">
        <v>53441</v>
      </c>
    </row>
    <row r="60" spans="1:7" x14ac:dyDescent="0.25">
      <c r="A60" s="2" t="s">
        <v>87</v>
      </c>
      <c r="C60" s="2" t="s">
        <v>7</v>
      </c>
      <c r="D60" s="3">
        <v>32106</v>
      </c>
      <c r="E60" s="4">
        <v>1312</v>
      </c>
      <c r="F60" s="8">
        <v>241</v>
      </c>
      <c r="G60" s="3">
        <v>54021</v>
      </c>
    </row>
    <row r="61" spans="1:7" x14ac:dyDescent="0.25">
      <c r="A61" s="2" t="s">
        <v>88</v>
      </c>
      <c r="B61" s="2" t="s">
        <v>10</v>
      </c>
      <c r="C61" s="2" t="s">
        <v>17</v>
      </c>
      <c r="D61" s="3">
        <v>26962</v>
      </c>
      <c r="E61" s="4">
        <v>1300</v>
      </c>
      <c r="F61" s="8">
        <v>241</v>
      </c>
      <c r="G61" s="3">
        <v>56104</v>
      </c>
    </row>
    <row r="62" spans="1:7" x14ac:dyDescent="0.25">
      <c r="A62" s="2" t="s">
        <v>89</v>
      </c>
      <c r="C62" s="2" t="s">
        <v>17</v>
      </c>
      <c r="D62" s="3">
        <v>27212</v>
      </c>
      <c r="E62" s="4">
        <v>1331</v>
      </c>
      <c r="F62" s="8">
        <v>241</v>
      </c>
      <c r="G62" s="3">
        <v>56432</v>
      </c>
    </row>
    <row r="63" spans="1:7" x14ac:dyDescent="0.25">
      <c r="A63" s="2" t="s">
        <v>90</v>
      </c>
      <c r="B63" s="2" t="s">
        <v>42</v>
      </c>
      <c r="C63" s="2" t="s">
        <v>17</v>
      </c>
      <c r="D63" s="3">
        <v>31729</v>
      </c>
      <c r="E63" s="4">
        <v>1240</v>
      </c>
      <c r="F63" s="8">
        <v>764</v>
      </c>
      <c r="G63" s="3">
        <v>46333</v>
      </c>
    </row>
    <row r="64" spans="1:7" x14ac:dyDescent="0.25">
      <c r="A64" s="2" t="s">
        <v>91</v>
      </c>
      <c r="B64" s="2" t="s">
        <v>92</v>
      </c>
      <c r="C64" s="2" t="s">
        <v>7</v>
      </c>
      <c r="D64" s="3">
        <v>25846</v>
      </c>
      <c r="E64" s="4">
        <v>591</v>
      </c>
      <c r="F64" s="8">
        <v>764</v>
      </c>
      <c r="G64" s="3">
        <v>47761</v>
      </c>
    </row>
    <row r="65" spans="1:7" x14ac:dyDescent="0.25">
      <c r="A65" s="2" t="s">
        <v>93</v>
      </c>
      <c r="C65" s="2" t="s">
        <v>7</v>
      </c>
      <c r="D65" s="3">
        <v>26731</v>
      </c>
      <c r="E65" s="4">
        <v>591</v>
      </c>
      <c r="F65" s="8">
        <v>748</v>
      </c>
      <c r="G65" s="3">
        <v>48646</v>
      </c>
    </row>
    <row r="66" spans="1:7" x14ac:dyDescent="0.25">
      <c r="A66" s="2" t="s">
        <v>94</v>
      </c>
      <c r="B66" s="2" t="s">
        <v>75</v>
      </c>
      <c r="C66" s="2" t="s">
        <v>7</v>
      </c>
      <c r="D66" s="3">
        <v>27124</v>
      </c>
      <c r="E66" s="4">
        <v>522</v>
      </c>
      <c r="F66" s="8">
        <v>121</v>
      </c>
      <c r="G66" s="3">
        <v>48800</v>
      </c>
    </row>
    <row r="67" spans="1:7" x14ac:dyDescent="0.25">
      <c r="A67" s="2" t="s">
        <v>95</v>
      </c>
      <c r="C67" s="2" t="s">
        <v>7</v>
      </c>
      <c r="D67" s="3">
        <v>27331</v>
      </c>
      <c r="E67" s="4">
        <v>519</v>
      </c>
      <c r="F67" s="8">
        <v>121</v>
      </c>
      <c r="G67" s="3">
        <v>49246</v>
      </c>
    </row>
    <row r="68" spans="1:7" x14ac:dyDescent="0.25">
      <c r="A68" s="2" t="s">
        <v>96</v>
      </c>
      <c r="B68" s="2" t="s">
        <v>13</v>
      </c>
      <c r="C68" s="2" t="s">
        <v>17</v>
      </c>
      <c r="D68" s="3">
        <v>26647</v>
      </c>
      <c r="E68" s="4">
        <v>908</v>
      </c>
      <c r="F68" s="8">
        <v>121</v>
      </c>
      <c r="G68" s="3">
        <v>48562</v>
      </c>
    </row>
    <row r="69" spans="1:7" x14ac:dyDescent="0.25">
      <c r="A69" s="2" t="s">
        <v>97</v>
      </c>
      <c r="C69" s="2" t="s">
        <v>17</v>
      </c>
      <c r="D69" s="3">
        <v>26647</v>
      </c>
      <c r="E69" s="4">
        <v>911</v>
      </c>
      <c r="F69" s="8">
        <v>121</v>
      </c>
      <c r="G69" s="3">
        <v>48562</v>
      </c>
    </row>
    <row r="70" spans="1:7" x14ac:dyDescent="0.25">
      <c r="A70" s="2" t="s">
        <v>98</v>
      </c>
      <c r="B70" s="2" t="s">
        <v>99</v>
      </c>
      <c r="C70" s="2" t="s">
        <v>17</v>
      </c>
      <c r="D70" s="3">
        <v>31371</v>
      </c>
      <c r="E70" s="4">
        <v>560</v>
      </c>
      <c r="F70" s="8">
        <v>724</v>
      </c>
      <c r="G70" s="3">
        <v>53203</v>
      </c>
    </row>
    <row r="71" spans="1:7" x14ac:dyDescent="0.25">
      <c r="A71" s="2" t="s">
        <v>100</v>
      </c>
      <c r="B71" s="2" t="s">
        <v>61</v>
      </c>
      <c r="C71" s="2" t="s">
        <v>7</v>
      </c>
      <c r="D71" s="3">
        <v>28095</v>
      </c>
      <c r="E71" s="4">
        <v>967</v>
      </c>
      <c r="F71" s="8">
        <v>724</v>
      </c>
      <c r="G71" s="3">
        <v>49900</v>
      </c>
    </row>
    <row r="72" spans="1:7" x14ac:dyDescent="0.25">
      <c r="A72" s="2" t="s">
        <v>101</v>
      </c>
      <c r="C72" s="2" t="s">
        <v>7</v>
      </c>
      <c r="D72" s="3">
        <v>29726</v>
      </c>
      <c r="E72" s="4">
        <v>1169</v>
      </c>
      <c r="F72" s="8">
        <v>624</v>
      </c>
      <c r="G72" s="3">
        <v>51244</v>
      </c>
    </row>
    <row r="73" spans="1:7" x14ac:dyDescent="0.25">
      <c r="A73" s="2" t="s">
        <v>102</v>
      </c>
      <c r="B73" s="2" t="s">
        <v>103</v>
      </c>
      <c r="C73" s="2" t="s">
        <v>7</v>
      </c>
      <c r="D73" s="3">
        <v>32947</v>
      </c>
      <c r="E73" s="4">
        <v>1158</v>
      </c>
      <c r="F73" s="8">
        <v>157</v>
      </c>
      <c r="G73" s="3">
        <v>54862</v>
      </c>
    </row>
    <row r="74" spans="1:7" x14ac:dyDescent="0.25">
      <c r="A74" s="2" t="s">
        <v>104</v>
      </c>
      <c r="B74" s="2" t="s">
        <v>105</v>
      </c>
      <c r="C74" s="2" t="s">
        <v>7</v>
      </c>
      <c r="D74" s="3">
        <v>29481</v>
      </c>
      <c r="E74" s="4">
        <v>1246</v>
      </c>
      <c r="F74" s="8">
        <v>193</v>
      </c>
      <c r="G74" s="3">
        <v>51396</v>
      </c>
    </row>
    <row r="75" spans="1:7" x14ac:dyDescent="0.25">
      <c r="A75" s="2" t="s">
        <v>106</v>
      </c>
      <c r="C75" s="2" t="s">
        <v>7</v>
      </c>
      <c r="D75" s="3">
        <v>29844</v>
      </c>
      <c r="E75" s="4">
        <v>1152</v>
      </c>
      <c r="F75" s="8">
        <v>193</v>
      </c>
      <c r="G75" s="3">
        <v>51759</v>
      </c>
    </row>
    <row r="76" spans="1:7" x14ac:dyDescent="0.25">
      <c r="A76" s="2" t="s">
        <v>107</v>
      </c>
      <c r="B76" s="2" t="s">
        <v>21</v>
      </c>
      <c r="C76" s="2" t="s">
        <v>7</v>
      </c>
      <c r="D76" s="3">
        <v>31709</v>
      </c>
      <c r="E76" s="4">
        <v>1139</v>
      </c>
      <c r="F76" s="8">
        <v>193</v>
      </c>
      <c r="G76" s="3">
        <v>53624</v>
      </c>
    </row>
    <row r="77" spans="1:7" x14ac:dyDescent="0.25">
      <c r="A77" s="2" t="s">
        <v>108</v>
      </c>
      <c r="B77" s="2" t="s">
        <v>37</v>
      </c>
      <c r="C77" s="2" t="s">
        <v>7</v>
      </c>
      <c r="D77" s="3">
        <v>32224</v>
      </c>
      <c r="E77" s="4">
        <v>1280</v>
      </c>
      <c r="F77" s="8">
        <v>193</v>
      </c>
      <c r="G77" s="3">
        <v>53924</v>
      </c>
    </row>
    <row r="78" spans="1:7" x14ac:dyDescent="0.25">
      <c r="A78" s="2" t="s">
        <v>109</v>
      </c>
      <c r="C78" s="2" t="s">
        <v>7</v>
      </c>
      <c r="D78" s="3">
        <v>32595</v>
      </c>
      <c r="E78" s="4">
        <v>1280</v>
      </c>
      <c r="F78" s="8">
        <v>193</v>
      </c>
      <c r="G78" s="3">
        <v>54407</v>
      </c>
    </row>
    <row r="79" spans="1:7" x14ac:dyDescent="0.25">
      <c r="A79" s="2" t="s">
        <v>110</v>
      </c>
      <c r="B79" s="2" t="s">
        <v>111</v>
      </c>
      <c r="C79" s="2" t="s">
        <v>7</v>
      </c>
      <c r="D79" s="3">
        <v>27820</v>
      </c>
      <c r="E79" s="4">
        <v>981</v>
      </c>
      <c r="F79" s="8">
        <v>193</v>
      </c>
      <c r="G79" s="3">
        <v>49735</v>
      </c>
    </row>
    <row r="80" spans="1:7" x14ac:dyDescent="0.25">
      <c r="A80" s="2" t="s">
        <v>112</v>
      </c>
      <c r="C80" s="2" t="s">
        <v>7</v>
      </c>
      <c r="D80" s="3">
        <v>30412</v>
      </c>
      <c r="E80" s="4">
        <v>987</v>
      </c>
      <c r="F80" s="8">
        <v>193</v>
      </c>
      <c r="G80" s="3">
        <v>52327</v>
      </c>
    </row>
    <row r="81" spans="1:7" x14ac:dyDescent="0.25">
      <c r="A81" s="2" t="s">
        <v>113</v>
      </c>
      <c r="B81" s="2" t="s">
        <v>79</v>
      </c>
      <c r="C81" s="2" t="s">
        <v>7</v>
      </c>
      <c r="D81" s="3">
        <v>26444</v>
      </c>
      <c r="E81" s="4">
        <v>838</v>
      </c>
      <c r="F81" s="8">
        <v>217</v>
      </c>
      <c r="G81" s="3">
        <v>55664</v>
      </c>
    </row>
    <row r="82" spans="1:7" x14ac:dyDescent="0.25">
      <c r="A82" s="2" t="s">
        <v>114</v>
      </c>
      <c r="C82" s="2" t="s">
        <v>7</v>
      </c>
      <c r="D82" s="3">
        <v>26693</v>
      </c>
      <c r="E82" s="4">
        <v>838</v>
      </c>
      <c r="F82" s="8">
        <v>217</v>
      </c>
      <c r="G82" s="3">
        <v>55913</v>
      </c>
    </row>
    <row r="83" spans="1:7" x14ac:dyDescent="0.25">
      <c r="A83" s="2" t="s">
        <v>115</v>
      </c>
      <c r="B83" s="2" t="s">
        <v>10</v>
      </c>
      <c r="C83" s="2" t="s">
        <v>17</v>
      </c>
      <c r="D83" s="3">
        <v>30149</v>
      </c>
      <c r="E83" s="4">
        <v>1257</v>
      </c>
      <c r="F83" s="8">
        <v>157</v>
      </c>
      <c r="G83" s="3">
        <v>52064</v>
      </c>
    </row>
    <row r="84" spans="1:7" x14ac:dyDescent="0.25">
      <c r="A84" s="2" t="s">
        <v>116</v>
      </c>
      <c r="C84" s="2" t="s">
        <v>17</v>
      </c>
      <c r="D84" s="3">
        <v>30764</v>
      </c>
      <c r="E84" s="4">
        <v>1257</v>
      </c>
      <c r="F84" s="8">
        <v>157</v>
      </c>
      <c r="G84" s="3">
        <v>52679</v>
      </c>
    </row>
    <row r="85" spans="1:7" x14ac:dyDescent="0.25">
      <c r="A85" s="2" t="s">
        <v>117</v>
      </c>
      <c r="B85" s="2" t="s">
        <v>111</v>
      </c>
      <c r="C85" s="2" t="s">
        <v>7</v>
      </c>
      <c r="D85" s="3">
        <v>26499</v>
      </c>
      <c r="E85" s="4">
        <v>837</v>
      </c>
      <c r="F85" s="8">
        <v>157</v>
      </c>
      <c r="G85" s="3">
        <v>55719</v>
      </c>
    </row>
    <row r="86" spans="1:7" x14ac:dyDescent="0.25">
      <c r="A86" s="11" t="s">
        <v>118</v>
      </c>
      <c r="B86" s="11" t="s">
        <v>111</v>
      </c>
      <c r="C86" s="11" t="s">
        <v>7</v>
      </c>
      <c r="D86" s="12">
        <v>26864</v>
      </c>
      <c r="E86" s="13">
        <v>821</v>
      </c>
      <c r="F86" s="8">
        <v>764</v>
      </c>
      <c r="G86" s="12">
        <v>55984</v>
      </c>
    </row>
    <row r="87" spans="1:7" x14ac:dyDescent="0.25">
      <c r="A87" s="2" t="s">
        <v>119</v>
      </c>
      <c r="B87" s="2" t="s">
        <v>31</v>
      </c>
      <c r="C87" s="2" t="s">
        <v>7</v>
      </c>
      <c r="D87" s="3">
        <v>30267</v>
      </c>
      <c r="E87" s="4">
        <v>973</v>
      </c>
      <c r="F87" s="8">
        <v>764</v>
      </c>
      <c r="G87" s="3">
        <v>52084</v>
      </c>
    </row>
    <row r="88" spans="1:7" x14ac:dyDescent="0.25">
      <c r="A88" s="2" t="s">
        <v>120</v>
      </c>
      <c r="B88" s="2" t="s">
        <v>52</v>
      </c>
      <c r="C88" s="2" t="s">
        <v>7</v>
      </c>
      <c r="D88" s="3">
        <v>31793</v>
      </c>
      <c r="E88" s="4">
        <v>1150</v>
      </c>
      <c r="F88" s="8">
        <v>157</v>
      </c>
      <c r="G88" s="3">
        <v>53708</v>
      </c>
    </row>
    <row r="89" spans="1:7" x14ac:dyDescent="0.25">
      <c r="A89" s="2" t="s">
        <v>121</v>
      </c>
      <c r="C89" s="2" t="s">
        <v>7</v>
      </c>
      <c r="D89" s="3">
        <v>32598</v>
      </c>
      <c r="E89" s="4">
        <v>1152</v>
      </c>
      <c r="F89" s="8">
        <v>193</v>
      </c>
      <c r="G89" s="3">
        <v>54463</v>
      </c>
    </row>
    <row r="90" spans="1:7" x14ac:dyDescent="0.25">
      <c r="A90" s="2" t="s">
        <v>122</v>
      </c>
      <c r="C90" s="2" t="s">
        <v>7</v>
      </c>
      <c r="D90" s="3">
        <v>40949</v>
      </c>
      <c r="E90" s="4">
        <v>1117</v>
      </c>
      <c r="F90" s="8">
        <v>193</v>
      </c>
      <c r="G90" s="3">
        <v>59386</v>
      </c>
    </row>
    <row r="91" spans="1:7" x14ac:dyDescent="0.25">
      <c r="A91" s="2" t="s">
        <v>123</v>
      </c>
      <c r="B91" s="2" t="s">
        <v>99</v>
      </c>
      <c r="C91" s="2" t="s">
        <v>7</v>
      </c>
      <c r="D91" s="3">
        <v>31122</v>
      </c>
      <c r="E91" s="4">
        <v>1168</v>
      </c>
      <c r="F91" s="8">
        <v>217</v>
      </c>
      <c r="G91" s="3">
        <v>52949</v>
      </c>
    </row>
    <row r="92" spans="1:7" x14ac:dyDescent="0.25">
      <c r="A92" s="2" t="s">
        <v>124</v>
      </c>
      <c r="B92" s="2" t="s">
        <v>105</v>
      </c>
      <c r="C92" s="2" t="s">
        <v>7</v>
      </c>
      <c r="D92" s="3">
        <v>35102</v>
      </c>
      <c r="E92" s="4">
        <v>1157</v>
      </c>
      <c r="F92" s="8">
        <v>193</v>
      </c>
      <c r="G92" s="3">
        <v>49622</v>
      </c>
    </row>
    <row r="93" spans="1:7" x14ac:dyDescent="0.25">
      <c r="A93" s="2" t="s">
        <v>125</v>
      </c>
      <c r="C93" s="2" t="s">
        <v>7</v>
      </c>
      <c r="D93" s="3">
        <v>42299</v>
      </c>
      <c r="E93" s="4">
        <v>1164</v>
      </c>
      <c r="F93" s="8">
        <v>193</v>
      </c>
      <c r="G93" s="3">
        <v>56909</v>
      </c>
    </row>
    <row r="94" spans="1:7" x14ac:dyDescent="0.25">
      <c r="A94" s="2" t="s">
        <v>126</v>
      </c>
      <c r="B94" s="2" t="s">
        <v>127</v>
      </c>
      <c r="C94" s="2" t="s">
        <v>7</v>
      </c>
      <c r="D94" s="3">
        <v>31202</v>
      </c>
      <c r="E94" s="4">
        <v>1200</v>
      </c>
      <c r="F94" s="8">
        <v>193</v>
      </c>
      <c r="G94" s="3">
        <v>53032</v>
      </c>
    </row>
    <row r="95" spans="1:7" x14ac:dyDescent="0.25">
      <c r="A95" s="14" t="s">
        <v>136</v>
      </c>
      <c r="B95" s="2" t="s">
        <v>137</v>
      </c>
      <c r="C95" s="2" t="s">
        <v>7</v>
      </c>
      <c r="D95" s="3">
        <v>45108</v>
      </c>
      <c r="E95" s="8">
        <v>1250</v>
      </c>
      <c r="F95" s="3">
        <v>56909</v>
      </c>
      <c r="G95" s="3">
        <v>56615</v>
      </c>
    </row>
    <row r="96" spans="1:7" x14ac:dyDescent="0.25">
      <c r="A96" s="14"/>
      <c r="C96" s="8"/>
    </row>
    <row r="97" spans="1:4" x14ac:dyDescent="0.25">
      <c r="A97" s="14"/>
      <c r="C97" s="8"/>
    </row>
    <row r="98" spans="1:4" ht="45" customHeight="1" x14ac:dyDescent="0.25">
      <c r="A98" s="14"/>
    </row>
    <row r="99" spans="1:4" ht="60" customHeight="1" x14ac:dyDescent="0.25">
      <c r="A99" s="14"/>
      <c r="D99" s="15"/>
    </row>
    <row r="100" spans="1:4" x14ac:dyDescent="0.25">
      <c r="A100" s="14"/>
    </row>
    <row r="101" spans="1:4" x14ac:dyDescent="0.25">
      <c r="A101" s="14"/>
      <c r="C101" s="8"/>
      <c r="D101" s="15"/>
    </row>
    <row r="102" spans="1:4" x14ac:dyDescent="0.25">
      <c r="A102" s="14"/>
      <c r="C102" s="8"/>
    </row>
    <row r="103" spans="1:4" x14ac:dyDescent="0.25">
      <c r="A103" s="14"/>
      <c r="C103" s="8"/>
    </row>
    <row r="104" spans="1:4" x14ac:dyDescent="0.25">
      <c r="A104" s="14"/>
      <c r="C104" s="8"/>
    </row>
    <row r="105" spans="1:4" x14ac:dyDescent="0.25">
      <c r="A105" s="14"/>
      <c r="C105" s="8"/>
    </row>
    <row r="106" spans="1:4" x14ac:dyDescent="0.25">
      <c r="C106" s="8"/>
    </row>
    <row r="107" spans="1:4" x14ac:dyDescent="0.25">
      <c r="C107" s="8"/>
    </row>
  </sheetData>
  <conditionalFormatting sqref="A95 D95:E95">
    <cfRule type="expression" dxfId="19" priority="3" stopIfTrue="1">
      <formula>#REF!="PWR"</formula>
    </cfRule>
    <cfRule type="expression" dxfId="18" priority="4" stopIfTrue="1">
      <formula>#REF!="BWR"</formula>
    </cfRule>
  </conditionalFormatting>
  <conditionalFormatting sqref="A86:E86 G86">
    <cfRule type="expression" dxfId="17" priority="17">
      <formula>$C86="PWR"</formula>
    </cfRule>
    <cfRule type="expression" dxfId="16" priority="18">
      <formula>$C86="BWR"</formula>
    </cfRule>
  </conditionalFormatting>
  <conditionalFormatting sqref="A1:G1 A2:E85 G2:G85 A87:E94 B97:F97 A101:F107 A108:G1048576">
    <cfRule type="expression" dxfId="15" priority="19" stopIfTrue="1">
      <formula>$C1="PWR"</formula>
    </cfRule>
    <cfRule type="expression" dxfId="14" priority="20" stopIfTrue="1">
      <formula>$C1="BWR"</formula>
    </cfRule>
  </conditionalFormatting>
  <conditionalFormatting sqref="D96:F96 A98:A100">
    <cfRule type="expression" dxfId="13" priority="21" stopIfTrue="1">
      <formula>#REF!="PWR"</formula>
    </cfRule>
    <cfRule type="expression" dxfId="12" priority="22" stopIfTrue="1">
      <formula>#REF!="BWR"</formula>
    </cfRule>
  </conditionalFormatting>
  <conditionalFormatting sqref="F2:F85">
    <cfRule type="expression" dxfId="11" priority="7" stopIfTrue="1">
      <formula>$C2="PWR"</formula>
    </cfRule>
    <cfRule type="expression" dxfId="10" priority="8" stopIfTrue="1">
      <formula>$C2="BWR"</formula>
    </cfRule>
  </conditionalFormatting>
  <conditionalFormatting sqref="F86">
    <cfRule type="expression" dxfId="9" priority="5">
      <formula>$C86="PWR"</formula>
    </cfRule>
    <cfRule type="expression" dxfId="8" priority="6">
      <formula>$C86="BWR"</formula>
    </cfRule>
  </conditionalFormatting>
  <conditionalFormatting sqref="F87:F95">
    <cfRule type="expression" dxfId="7" priority="1" stopIfTrue="1">
      <formula>$C87="PWR"</formula>
    </cfRule>
    <cfRule type="expression" dxfId="6" priority="2" stopIfTrue="1">
      <formula>$C87="BWR"</formula>
    </cfRule>
  </conditionalFormatting>
  <conditionalFormatting sqref="G87:G94 G96:G107">
    <cfRule type="expression" dxfId="5" priority="15" stopIfTrue="1">
      <formula>$C87="PWR"</formula>
    </cfRule>
    <cfRule type="expression" dxfId="4" priority="16" stopIfTrue="1">
      <formula>$C87="BWR"</formula>
    </cfRule>
  </conditionalFormatting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39EF-B6A5-453B-BD26-93D4A7D26C33}">
  <dimension ref="A1:G25"/>
  <sheetViews>
    <sheetView workbookViewId="0">
      <selection activeCell="A24" sqref="A24"/>
    </sheetView>
  </sheetViews>
  <sheetFormatPr defaultRowHeight="15" x14ac:dyDescent="0.25"/>
  <cols>
    <col min="1" max="1" width="59.5703125" bestFit="1" customWidth="1"/>
    <col min="2" max="2" width="6.28515625" bestFit="1" customWidth="1"/>
    <col min="3" max="3" width="22.28515625" customWidth="1"/>
    <col min="4" max="4" width="18.7109375" bestFit="1" customWidth="1"/>
    <col min="5" max="5" width="13.5703125" bestFit="1" customWidth="1"/>
    <col min="6" max="6" width="19" bestFit="1" customWidth="1"/>
  </cols>
  <sheetData>
    <row r="1" spans="1:7" x14ac:dyDescent="0.25">
      <c r="A1" s="21" t="s">
        <v>0</v>
      </c>
      <c r="B1" s="22" t="s">
        <v>1</v>
      </c>
      <c r="C1" s="22" t="s">
        <v>128</v>
      </c>
      <c r="D1" s="23" t="s">
        <v>2</v>
      </c>
      <c r="E1" s="24" t="s">
        <v>3</v>
      </c>
      <c r="F1" s="6" t="s">
        <v>4</v>
      </c>
      <c r="G1" s="28" t="s">
        <v>134</v>
      </c>
    </row>
    <row r="2" spans="1:7" x14ac:dyDescent="0.25">
      <c r="A2" s="16" t="s">
        <v>129</v>
      </c>
      <c r="B2" s="2" t="s">
        <v>132</v>
      </c>
      <c r="C2" s="18" t="s">
        <v>7</v>
      </c>
      <c r="D2" s="19">
        <v>45292</v>
      </c>
      <c r="E2" s="20">
        <v>2500</v>
      </c>
      <c r="F2" s="19">
        <v>56910</v>
      </c>
      <c r="G2" s="8">
        <f>157*2</f>
        <v>314</v>
      </c>
    </row>
    <row r="3" spans="1:7" x14ac:dyDescent="0.25">
      <c r="A3" s="14" t="s">
        <v>142</v>
      </c>
      <c r="B3" s="2" t="s">
        <v>132</v>
      </c>
      <c r="C3" s="8" t="s">
        <v>7</v>
      </c>
      <c r="D3" s="3">
        <v>47849</v>
      </c>
      <c r="E3" s="4">
        <f>6*77</f>
        <v>462</v>
      </c>
      <c r="F3" s="3">
        <v>56911</v>
      </c>
      <c r="G3" s="35">
        <f>37*6</f>
        <v>222</v>
      </c>
    </row>
    <row r="4" spans="1:7" x14ac:dyDescent="0.25">
      <c r="A4" s="16" t="s">
        <v>135</v>
      </c>
      <c r="B4" s="2" t="s">
        <v>132</v>
      </c>
      <c r="C4" s="17" t="s">
        <v>7</v>
      </c>
      <c r="D4" s="19">
        <v>49310</v>
      </c>
      <c r="E4" s="20">
        <v>800</v>
      </c>
      <c r="F4" s="19">
        <v>56912</v>
      </c>
      <c r="G4" s="8">
        <v>69</v>
      </c>
    </row>
    <row r="5" spans="1:7" x14ac:dyDescent="0.25">
      <c r="A5" s="14" t="s">
        <v>141</v>
      </c>
      <c r="B5" s="2" t="s">
        <v>132</v>
      </c>
      <c r="C5" s="8" t="s">
        <v>131</v>
      </c>
      <c r="D5" s="3">
        <v>49310</v>
      </c>
      <c r="E5" s="4">
        <v>265</v>
      </c>
      <c r="F5" s="3">
        <v>56917</v>
      </c>
      <c r="G5" s="8">
        <v>198</v>
      </c>
    </row>
    <row r="6" spans="1:7" x14ac:dyDescent="0.25">
      <c r="A6" s="16" t="s">
        <v>140</v>
      </c>
      <c r="B6" s="2" t="s">
        <v>132</v>
      </c>
      <c r="C6" s="18" t="s">
        <v>130</v>
      </c>
      <c r="D6" s="19">
        <v>46023</v>
      </c>
      <c r="E6" s="20">
        <v>140</v>
      </c>
      <c r="F6" s="19">
        <v>56918</v>
      </c>
      <c r="G6" s="8"/>
    </row>
    <row r="7" spans="1:7" x14ac:dyDescent="0.25">
      <c r="A7" s="29" t="s">
        <v>139</v>
      </c>
      <c r="B7" s="30" t="s">
        <v>132</v>
      </c>
      <c r="C7" s="31" t="s">
        <v>130</v>
      </c>
      <c r="D7" s="32">
        <v>46753</v>
      </c>
      <c r="E7" s="33">
        <v>345</v>
      </c>
      <c r="F7" s="34">
        <v>56919</v>
      </c>
      <c r="G7" s="31"/>
    </row>
    <row r="8" spans="1:7" x14ac:dyDescent="0.25">
      <c r="A8" s="29" t="s">
        <v>138</v>
      </c>
      <c r="B8" s="30" t="s">
        <v>132</v>
      </c>
      <c r="C8" s="31" t="s">
        <v>130</v>
      </c>
      <c r="D8" s="32">
        <v>46388</v>
      </c>
      <c r="E8" s="33">
        <v>50</v>
      </c>
      <c r="F8" s="34">
        <v>56920</v>
      </c>
      <c r="G8" s="31"/>
    </row>
    <row r="9" spans="1:7" x14ac:dyDescent="0.25">
      <c r="A9" s="2" t="s">
        <v>143</v>
      </c>
      <c r="B9" s="2" t="s">
        <v>132</v>
      </c>
      <c r="C9" s="8" t="s">
        <v>130</v>
      </c>
      <c r="D9" s="3">
        <v>46753</v>
      </c>
      <c r="E9" s="4">
        <v>320</v>
      </c>
      <c r="F9" s="3">
        <v>56921</v>
      </c>
      <c r="G9" s="8"/>
    </row>
    <row r="10" spans="1:7" x14ac:dyDescent="0.25">
      <c r="A10" s="16" t="s">
        <v>133</v>
      </c>
      <c r="B10" s="2" t="s">
        <v>132</v>
      </c>
      <c r="C10" s="18" t="s">
        <v>7</v>
      </c>
      <c r="D10" s="3">
        <v>47484</v>
      </c>
      <c r="E10" s="20">
        <v>160</v>
      </c>
      <c r="F10" s="26">
        <v>56919</v>
      </c>
      <c r="G10" s="8">
        <v>57</v>
      </c>
    </row>
    <row r="11" spans="1:7" x14ac:dyDescent="0.25">
      <c r="D11" s="25"/>
      <c r="F11" s="25"/>
    </row>
    <row r="12" spans="1:7" x14ac:dyDescent="0.25">
      <c r="D12" s="25"/>
      <c r="F12" s="25"/>
    </row>
    <row r="13" spans="1:7" x14ac:dyDescent="0.25">
      <c r="D13" s="25"/>
      <c r="F13" s="25"/>
    </row>
    <row r="14" spans="1:7" x14ac:dyDescent="0.25">
      <c r="D14" s="25"/>
      <c r="F14" s="25"/>
    </row>
    <row r="15" spans="1:7" x14ac:dyDescent="0.25">
      <c r="D15" s="25"/>
      <c r="F15" s="25"/>
    </row>
    <row r="16" spans="1:7" x14ac:dyDescent="0.25">
      <c r="D16" s="25"/>
      <c r="F16" s="25"/>
    </row>
    <row r="17" spans="4:6" x14ac:dyDescent="0.25">
      <c r="D17" s="25"/>
      <c r="F17" s="25"/>
    </row>
    <row r="18" spans="4:6" x14ac:dyDescent="0.25">
      <c r="D18" s="25"/>
      <c r="F18" s="25"/>
    </row>
    <row r="19" spans="4:6" x14ac:dyDescent="0.25">
      <c r="D19" s="25"/>
      <c r="F19" s="25"/>
    </row>
    <row r="20" spans="4:6" x14ac:dyDescent="0.25">
      <c r="D20" s="25"/>
      <c r="F20" s="25"/>
    </row>
    <row r="21" spans="4:6" x14ac:dyDescent="0.25">
      <c r="D21" s="25"/>
      <c r="F21" s="25"/>
    </row>
    <row r="22" spans="4:6" x14ac:dyDescent="0.25">
      <c r="D22" s="25"/>
      <c r="F22" s="25"/>
    </row>
    <row r="23" spans="4:6" x14ac:dyDescent="0.25">
      <c r="D23" s="25"/>
      <c r="F23" s="25"/>
    </row>
    <row r="24" spans="4:6" x14ac:dyDescent="0.25">
      <c r="D24" s="25"/>
      <c r="F24" s="25"/>
    </row>
    <row r="25" spans="4:6" x14ac:dyDescent="0.25">
      <c r="D25" s="25"/>
      <c r="F25" s="25"/>
    </row>
  </sheetData>
  <conditionalFormatting sqref="A1:F1 F2:F4 C3:E3 C5:F9 A5:A10 C10 E10">
    <cfRule type="expression" dxfId="3" priority="3" stopIfTrue="1">
      <formula>$C1="PWR"</formula>
    </cfRule>
    <cfRule type="expression" dxfId="2" priority="4" stopIfTrue="1">
      <formula>$C1="BWR"</formula>
    </cfRule>
  </conditionalFormatting>
  <conditionalFormatting sqref="D2:E2 A4">
    <cfRule type="expression" dxfId="1" priority="9" stopIfTrue="1">
      <formula>#REF!="PWR"</formula>
    </cfRule>
    <cfRule type="expression" dxfId="0" priority="10" stopIfTrue="1">
      <formula>#REF!="BWR"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ReactorPresent</vt:lpstr>
      <vt:lpstr>ReactorFuture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Saman Marandi</cp:lastModifiedBy>
  <dcterms:created xsi:type="dcterms:W3CDTF">2023-07-27T19:40:36Z</dcterms:created>
  <dcterms:modified xsi:type="dcterms:W3CDTF">2024-05-20T22:02:13Z</dcterms:modified>
</cp:coreProperties>
</file>